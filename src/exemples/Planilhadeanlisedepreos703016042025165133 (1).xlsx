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_CACP - COORDENADORIA DE ANALISE E CONFORMIDADE DE PREÇOS\Planilhas 70.30 editáveis\"/>
    </mc:Choice>
  </mc:AlternateContent>
  <bookViews>
    <workbookView xWindow="0" yWindow="0" windowWidth="28800" windowHeight="12135"/>
  </bookViews>
  <sheets>
    <sheet name="Item" sheetId="1" r:id="rId1"/>
  </sheets>
  <definedNames>
    <definedName name="_xlnm.Print_Area" localSheetId="0">Item!$A$2:$F$76</definedName>
  </definedNames>
  <calcPr calcId="152511"/>
  <extLst>
    <ext uri="GoogleSheetsCustomDataVersion2">
      <go:sheetsCustomData xmlns:go="http://customooxmlschemas.google.com/" r:id="rId5" roundtripDataChecksum="qpKoALoYyiIcKrgg4wohMmwcBT+e/vUUEt5sJnZfLPw="/>
    </ext>
  </extLst>
</workbook>
</file>

<file path=xl/calcChain.xml><?xml version="1.0" encoding="utf-8"?>
<calcChain xmlns="http://schemas.openxmlformats.org/spreadsheetml/2006/main">
  <c r="B35" i="1" l="1"/>
  <c r="B37" i="1"/>
  <c r="C37" i="1"/>
  <c r="C41" i="1" l="1"/>
  <c r="B41" i="1"/>
  <c r="A41" i="1"/>
  <c r="C40" i="1"/>
  <c r="B40" i="1"/>
  <c r="A40" i="1"/>
  <c r="C39" i="1"/>
  <c r="B39" i="1"/>
  <c r="A39" i="1"/>
  <c r="C38" i="1"/>
  <c r="B38" i="1"/>
  <c r="A38" i="1"/>
  <c r="A37" i="1"/>
  <c r="C36" i="1"/>
  <c r="B36" i="1"/>
  <c r="A36" i="1"/>
  <c r="C35" i="1"/>
  <c r="A35" i="1"/>
  <c r="C34" i="1"/>
  <c r="B34" i="1"/>
  <c r="A34" i="1"/>
  <c r="C33" i="1"/>
  <c r="B33" i="1"/>
  <c r="A33" i="1"/>
  <c r="C32" i="1"/>
  <c r="B32" i="1"/>
  <c r="A32" i="1"/>
  <c r="D37" i="1" l="1"/>
  <c r="E37" i="1" s="1"/>
  <c r="F37" i="1" s="1"/>
  <c r="D38" i="1"/>
  <c r="E38" i="1" s="1"/>
  <c r="D34" i="1"/>
  <c r="E34" i="1" s="1"/>
  <c r="F34" i="1" s="1"/>
  <c r="D36" i="1"/>
  <c r="E36" i="1" s="1"/>
  <c r="F36" i="1" s="1"/>
  <c r="D40" i="1"/>
  <c r="E40" i="1" s="1"/>
  <c r="D33" i="1"/>
  <c r="E33" i="1" s="1"/>
  <c r="F33" i="1" s="1"/>
  <c r="D41" i="1"/>
  <c r="E41" i="1" s="1"/>
  <c r="D32" i="1"/>
  <c r="E32" i="1" s="1"/>
  <c r="A46" i="1" s="1"/>
  <c r="D35" i="1"/>
  <c r="E35" i="1" s="1"/>
  <c r="A49" i="1" s="1"/>
  <c r="D39" i="1"/>
  <c r="E39" i="1" s="1"/>
  <c r="F41" i="1" l="1"/>
  <c r="A55" i="1"/>
  <c r="B55" i="1"/>
  <c r="C55" i="1" s="1"/>
  <c r="F40" i="1"/>
  <c r="B54" i="1"/>
  <c r="C54" i="1" s="1"/>
  <c r="A54" i="1"/>
  <c r="F39" i="1"/>
  <c r="B53" i="1"/>
  <c r="A53" i="1"/>
  <c r="F38" i="1"/>
  <c r="B52" i="1"/>
  <c r="A52" i="1"/>
  <c r="B51" i="1"/>
  <c r="A51" i="1"/>
  <c r="B50" i="1"/>
  <c r="A50" i="1"/>
  <c r="F35" i="1"/>
  <c r="B49" i="1"/>
  <c r="A48" i="1"/>
  <c r="B48" i="1"/>
  <c r="C48" i="1" s="1"/>
  <c r="F32" i="1"/>
  <c r="B46" i="1"/>
  <c r="A47" i="1"/>
  <c r="B47" i="1"/>
  <c r="D54" i="1" l="1"/>
  <c r="E54" i="1" s="1"/>
  <c r="A68" i="1"/>
  <c r="D55" i="1"/>
  <c r="E55" i="1" s="1"/>
  <c r="F55" i="1" s="1"/>
  <c r="B68" i="1"/>
  <c r="C68" i="1" s="1"/>
  <c r="D53" i="1"/>
  <c r="E53" i="1" s="1"/>
  <c r="B66" i="1" s="1"/>
  <c r="C66" i="1" s="1"/>
  <c r="C53" i="1"/>
  <c r="C52" i="1"/>
  <c r="D52" i="1"/>
  <c r="E52" i="1" s="1"/>
  <c r="B65" i="1" s="1"/>
  <c r="C65" i="1" s="1"/>
  <c r="C51" i="1"/>
  <c r="D51" i="1"/>
  <c r="E51" i="1" s="1"/>
  <c r="D50" i="1"/>
  <c r="E50" i="1" s="1"/>
  <c r="C50" i="1"/>
  <c r="C49" i="1"/>
  <c r="D49" i="1"/>
  <c r="E49" i="1" s="1"/>
  <c r="D48" i="1"/>
  <c r="E48" i="1" s="1"/>
  <c r="F48" i="1" s="1"/>
  <c r="C46" i="1"/>
  <c r="D46" i="1"/>
  <c r="E46" i="1" s="1"/>
  <c r="B59" i="1" s="1"/>
  <c r="D47" i="1"/>
  <c r="E47" i="1" s="1"/>
  <c r="C47" i="1"/>
  <c r="F46" i="1" l="1"/>
  <c r="B67" i="1"/>
  <c r="C67" i="1" s="1"/>
  <c r="F54" i="1"/>
  <c r="A67" i="1"/>
  <c r="A66" i="1"/>
  <c r="F53" i="1"/>
  <c r="A65" i="1"/>
  <c r="F52" i="1"/>
  <c r="A63" i="1"/>
  <c r="F50" i="1"/>
  <c r="B63" i="1"/>
  <c r="C63" i="1" s="1"/>
  <c r="B64" i="1"/>
  <c r="C64" i="1" s="1"/>
  <c r="A64" i="1"/>
  <c r="F51" i="1"/>
  <c r="A62" i="1"/>
  <c r="B62" i="1"/>
  <c r="C62" i="1" s="1"/>
  <c r="F49" i="1"/>
  <c r="A61" i="1"/>
  <c r="B61" i="1"/>
  <c r="C61" i="1" s="1"/>
  <c r="B60" i="1"/>
  <c r="C60" i="1" s="1"/>
  <c r="F47" i="1"/>
  <c r="A60" i="1"/>
  <c r="C59" i="1"/>
  <c r="A59" i="1"/>
  <c r="E59" i="1" l="1"/>
</calcChain>
</file>

<file path=xl/sharedStrings.xml><?xml version="1.0" encoding="utf-8"?>
<sst xmlns="http://schemas.openxmlformats.org/spreadsheetml/2006/main" count="56" uniqueCount="41">
  <si>
    <t>MAPA COMPARATIVO DE PREÇOS AUXILIAR</t>
  </si>
  <si>
    <t>Art. 46, I</t>
  </si>
  <si>
    <t>Análise de preços excessivos e inexequíveis - Decretos n. 1.525/2022 e 216/2023</t>
  </si>
  <si>
    <t>Art. 46, II</t>
  </si>
  <si>
    <t>Esta análise de preços coletados mediante pesquisa está arquitetado de acordo com os Artigos 46 e 47 do Decreto n. 1.525, de 23 de novembro de 2022, alterado pelo Decreto n. 216, de 31 de março de 2023.</t>
  </si>
  <si>
    <t>Art. 46, III</t>
  </si>
  <si>
    <t>1. DISCRIMINAÇÃO DO PRODUTO</t>
  </si>
  <si>
    <t>Art. 46, IV</t>
  </si>
  <si>
    <t>Art. 46, V</t>
  </si>
  <si>
    <t>Órgão:</t>
  </si>
  <si>
    <t>Lote:</t>
  </si>
  <si>
    <t>Nº do Processo:</t>
  </si>
  <si>
    <t>Item:</t>
  </si>
  <si>
    <t>Tipo de Julgamento:</t>
  </si>
  <si>
    <t>Quantidade:</t>
  </si>
  <si>
    <t>Critério de Classificação:</t>
  </si>
  <si>
    <t>Menor preço unitário</t>
  </si>
  <si>
    <t>Código:</t>
  </si>
  <si>
    <t>Descrição do Item:</t>
  </si>
  <si>
    <t>PARÂMETRO</t>
  </si>
  <si>
    <t>PREÇO</t>
  </si>
  <si>
    <t>FORNECEDOR</t>
  </si>
  <si>
    <t>PREÇO PÚBLICO? (S/N)</t>
  </si>
  <si>
    <t>QUADRO 1: ANÁLISE DOS PREÇOS EXCESSIVAMENTE ELEVADOS (DECRETO 1.525/2022, Art. 47, § 3º, Inciso I)</t>
  </si>
  <si>
    <t>MÉDIA DOS DEMAIS PREÇOS</t>
  </si>
  <si>
    <t>DIFERENÇA (%)</t>
  </si>
  <si>
    <t>RESULTADO</t>
  </si>
  <si>
    <t>QUADRO 2: ANÁLISE DA EXEQUIBILIDADE DOS PREÇOS (DECRETO 1.525/2022, Art. 47, § 3º, Inciso II)</t>
  </si>
  <si>
    <t>COMPARAÇÃO (%)</t>
  </si>
  <si>
    <t>RESULTADO DA ANÁLISE DOS PREÇOS</t>
  </si>
  <si>
    <t>PREÇOS APROVADOS</t>
  </si>
  <si>
    <t>MÉDIA FINAL</t>
  </si>
  <si>
    <t>Elaborado por :</t>
  </si>
  <si>
    <t xml:space="preserve">NOME COMPLETO DO SERVIDOR - MATRÍCULA: </t>
  </si>
  <si>
    <t>Data:</t>
  </si>
  <si>
    <t>___________________________________________________</t>
  </si>
  <si>
    <t>Carimbo e assinatura do (a) Elaborador (a)</t>
  </si>
  <si>
    <r>
      <t xml:space="preserve">Nesta análise serão considerados "excessivamente elevados" os valores em que "a diferença entre o valor oferecido e a média dos demais preços ultrapasse </t>
    </r>
    <r>
      <rPr>
        <b/>
        <sz val="14"/>
        <color rgb="FF2E75B5"/>
        <rFont val="Calibri"/>
        <family val="2"/>
      </rPr>
      <t>30%</t>
    </r>
    <r>
      <rPr>
        <b/>
        <sz val="12"/>
        <color rgb="FF2E75B5"/>
        <rFont val="Calibri"/>
        <family val="2"/>
      </rPr>
      <t>".</t>
    </r>
  </si>
  <si>
    <t>Nesta análise, serão excluídos os valores Excessivamente Elevados (apontados no Quadro 1), e serão considerados "INEXEQUÍVEIS" todos os valores que se mostrarem menor que 70% do valor médio dos demais preços, com exceção daqueles que forem PREÇOS PÚBLICOS.</t>
  </si>
  <si>
    <t>XX/XX/2025</t>
  </si>
  <si>
    <t>Secretaria de Estado de 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</si>
</sst>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2E75B5"/>
      <name val="Calibri"/>
      <family val="2"/>
    </font>
    <font>
      <b/>
      <sz val="14"/>
      <color rgb="FF2E75B5"/>
      <name val="Calibri"/>
      <family val="2"/>
    </font>
    <font>
      <b/>
      <sz val="48"/>
      <color theme="1"/>
      <name val="Calibri"/>
      <family val="2"/>
    </font>
    <font>
      <b/>
      <u/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262626"/>
        <bgColor rgb="FF2626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1"/>
  </cellStyleXfs>
  <cellXfs count="95">
    <xf numFmtId="0" fontId="0" fillId="0" borderId="0" xfId="0" applyFont="1" applyAlignment="1"/>
    <xf numFmtId="0" fontId="3" fillId="0" borderId="4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/>
    <xf numFmtId="0" fontId="3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4" fontId="3" fillId="4" borderId="4" xfId="0" applyNumberFormat="1" applyFont="1" applyFill="1" applyBorder="1" applyAlignment="1">
      <alignment horizontal="center" vertical="center"/>
    </xf>
    <xf numFmtId="49" fontId="9" fillId="4" borderId="4" xfId="0" applyNumberFormat="1" applyFont="1" applyFill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1" fillId="0" borderId="0" xfId="0" applyFont="1"/>
    <xf numFmtId="4" fontId="3" fillId="5" borderId="4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/>
    <xf numFmtId="0" fontId="3" fillId="5" borderId="2" xfId="0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Protection="1">
      <protection locked="0"/>
    </xf>
    <xf numFmtId="0" fontId="7" fillId="0" borderId="6" xfId="0" applyFont="1" applyBorder="1"/>
    <xf numFmtId="0" fontId="7" fillId="0" borderId="8" xfId="0" applyFont="1" applyBorder="1"/>
    <xf numFmtId="0" fontId="7" fillId="0" borderId="10" xfId="0" applyFont="1" applyBorder="1"/>
    <xf numFmtId="49" fontId="9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2" xfId="0" applyFont="1" applyBorder="1"/>
    <xf numFmtId="0" fontId="7" fillId="0" borderId="13" xfId="0" applyFont="1" applyBorder="1"/>
    <xf numFmtId="49" fontId="9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" fontId="13" fillId="0" borderId="5" xfId="0" applyNumberFormat="1" applyFont="1" applyBorder="1" applyAlignment="1">
      <alignment horizontal="center" vertical="center"/>
    </xf>
    <xf numFmtId="0" fontId="3" fillId="0" borderId="1" xfId="0" applyFont="1" applyBorder="1"/>
    <xf numFmtId="0" fontId="10" fillId="0" borderId="1" xfId="0" applyFont="1" applyBorder="1"/>
    <xf numFmtId="0" fontId="6" fillId="2" borderId="14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6" xfId="0" applyFont="1" applyBorder="1"/>
    <xf numFmtId="0" fontId="6" fillId="2" borderId="17" xfId="0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8" xfId="0" applyFont="1" applyBorder="1"/>
    <xf numFmtId="0" fontId="8" fillId="0" borderId="17" xfId="0" applyFont="1" applyBorder="1" applyAlignment="1">
      <alignment horizontal="left" vertical="center" wrapText="1"/>
    </xf>
    <xf numFmtId="0" fontId="2" fillId="0" borderId="1" xfId="0" applyFont="1" applyBorder="1" applyAlignment="1"/>
    <xf numFmtId="0" fontId="2" fillId="0" borderId="18" xfId="0" applyFont="1" applyBorder="1" applyAlignment="1"/>
    <xf numFmtId="0" fontId="8" fillId="3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left"/>
    </xf>
    <xf numFmtId="49" fontId="3" fillId="5" borderId="20" xfId="0" applyNumberFormat="1" applyFont="1" applyFill="1" applyBorder="1" applyAlignment="1" applyProtection="1">
      <alignment horizontal="center" vertical="center"/>
      <protection locked="0"/>
    </xf>
    <xf numFmtId="0" fontId="3" fillId="0" borderId="21" xfId="0" applyFont="1" applyBorder="1" applyAlignment="1">
      <alignment horizontal="center" vertical="center"/>
    </xf>
    <xf numFmtId="0" fontId="7" fillId="0" borderId="17" xfId="0" applyFont="1" applyBorder="1"/>
    <xf numFmtId="0" fontId="7" fillId="0" borderId="11" xfId="0" applyFont="1" applyBorder="1"/>
    <xf numFmtId="0" fontId="7" fillId="0" borderId="23" xfId="0" applyFont="1" applyBorder="1"/>
    <xf numFmtId="0" fontId="3" fillId="0" borderId="17" xfId="0" applyFont="1" applyBorder="1"/>
    <xf numFmtId="0" fontId="3" fillId="0" borderId="18" xfId="0" applyFont="1" applyBorder="1"/>
    <xf numFmtId="0" fontId="8" fillId="3" borderId="17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Protection="1">
      <protection locked="0"/>
    </xf>
    <xf numFmtId="49" fontId="9" fillId="5" borderId="20" xfId="0" applyNumberFormat="1" applyFont="1" applyFill="1" applyBorder="1" applyAlignment="1" applyProtection="1">
      <alignment horizontal="center" vertical="center" wrapText="1"/>
      <protection locked="0"/>
    </xf>
    <xf numFmtId="0" fontId="5" fillId="6" borderId="23" xfId="0" applyFont="1" applyFill="1" applyBorder="1" applyAlignment="1">
      <alignment horizontal="center" vertical="center"/>
    </xf>
    <xf numFmtId="0" fontId="7" fillId="0" borderId="24" xfId="0" applyFont="1" applyBorder="1"/>
    <xf numFmtId="0" fontId="11" fillId="4" borderId="19" xfId="0" applyFont="1" applyFill="1" applyBorder="1" applyAlignment="1">
      <alignment horizontal="left" vertical="center" wrapText="1"/>
    </xf>
    <xf numFmtId="0" fontId="7" fillId="0" borderId="26" xfId="0" applyFont="1" applyBorder="1"/>
    <xf numFmtId="0" fontId="3" fillId="0" borderId="2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7" fillId="0" borderId="22" xfId="0" applyFont="1" applyBorder="1"/>
    <xf numFmtId="0" fontId="3" fillId="0" borderId="30" xfId="0" applyFont="1" applyBorder="1" applyAlignment="1">
      <alignment horizontal="center" vertical="center"/>
    </xf>
    <xf numFmtId="2" fontId="3" fillId="0" borderId="31" xfId="0" applyNumberFormat="1" applyFont="1" applyBorder="1" applyAlignment="1">
      <alignment horizontal="center" vertical="center"/>
    </xf>
    <xf numFmtId="49" fontId="9" fillId="4" borderId="32" xfId="0" applyNumberFormat="1" applyFont="1" applyFill="1" applyBorder="1" applyAlignment="1">
      <alignment horizontal="center" vertical="center" wrapText="1"/>
    </xf>
    <xf numFmtId="0" fontId="7" fillId="0" borderId="33" xfId="0" applyFont="1" applyBorder="1"/>
    <xf numFmtId="0" fontId="7" fillId="0" borderId="34" xfId="0" applyFont="1" applyBorder="1"/>
    <xf numFmtId="0" fontId="7" fillId="0" borderId="35" xfId="0" applyFont="1" applyBorder="1"/>
    <xf numFmtId="0" fontId="8" fillId="8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Protection="1">
      <protection locked="0"/>
    </xf>
    <xf numFmtId="14" fontId="14" fillId="8" borderId="18" xfId="0" applyNumberFormat="1" applyFont="1" applyFill="1" applyBorder="1" applyAlignment="1" applyProtection="1">
      <alignment horizontal="left" vertical="center"/>
      <protection locked="0"/>
    </xf>
    <xf numFmtId="0" fontId="3" fillId="9" borderId="17" xfId="0" applyFont="1" applyFill="1" applyBorder="1"/>
    <xf numFmtId="0" fontId="3" fillId="9" borderId="1" xfId="0" applyFont="1" applyFill="1" applyBorder="1"/>
    <xf numFmtId="0" fontId="3" fillId="9" borderId="18" xfId="0" applyFont="1" applyFill="1" applyBorder="1"/>
    <xf numFmtId="0" fontId="8" fillId="9" borderId="1" xfId="0" applyFont="1" applyFill="1" applyBorder="1"/>
    <xf numFmtId="0" fontId="8" fillId="9" borderId="1" xfId="0" applyFont="1" applyFill="1" applyBorder="1" applyAlignment="1">
      <alignment horizontal="right"/>
    </xf>
    <xf numFmtId="0" fontId="3" fillId="9" borderId="1" xfId="0" applyFont="1" applyFill="1" applyBorder="1" applyAlignment="1">
      <alignment horizontal="center"/>
    </xf>
    <xf numFmtId="0" fontId="2" fillId="9" borderId="1" xfId="0" applyFont="1" applyFill="1" applyBorder="1" applyAlignment="1"/>
    <xf numFmtId="0" fontId="3" fillId="9" borderId="27" xfId="0" applyFont="1" applyFill="1" applyBorder="1"/>
    <xf numFmtId="0" fontId="3" fillId="9" borderId="28" xfId="0" applyFont="1" applyFill="1" applyBorder="1"/>
    <xf numFmtId="0" fontId="3" fillId="9" borderId="29" xfId="0" applyFont="1" applyFill="1" applyBorder="1"/>
    <xf numFmtId="49" fontId="9" fillId="8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7" borderId="13" xfId="0" applyFont="1" applyFill="1" applyBorder="1" applyProtection="1">
      <protection locked="0"/>
    </xf>
    <xf numFmtId="0" fontId="7" fillId="7" borderId="3" xfId="0" applyFont="1" applyFill="1" applyBorder="1" applyProtection="1">
      <protection locked="0"/>
    </xf>
    <xf numFmtId="0" fontId="3" fillId="8" borderId="5" xfId="0" applyFont="1" applyFill="1" applyBorder="1" applyAlignment="1" applyProtection="1">
      <alignment horizontal="left" vertical="center" wrapText="1"/>
      <protection locked="0"/>
    </xf>
    <xf numFmtId="0" fontId="7" fillId="7" borderId="7" xfId="0" applyFont="1" applyFill="1" applyBorder="1" applyProtection="1">
      <protection locked="0"/>
    </xf>
    <xf numFmtId="0" fontId="7" fillId="7" borderId="22" xfId="0" applyFont="1" applyFill="1" applyBorder="1" applyProtection="1">
      <protection locked="0"/>
    </xf>
    <xf numFmtId="0" fontId="7" fillId="7" borderId="8" xfId="0" applyFont="1" applyFill="1" applyBorder="1" applyProtection="1">
      <protection locked="0"/>
    </xf>
    <xf numFmtId="0" fontId="2" fillId="7" borderId="1" xfId="0" applyFont="1" applyFill="1" applyBorder="1" applyAlignment="1" applyProtection="1">
      <protection locked="0"/>
    </xf>
    <xf numFmtId="0" fontId="7" fillId="7" borderId="18" xfId="0" applyFont="1" applyFill="1" applyBorder="1" applyProtection="1">
      <protection locked="0"/>
    </xf>
    <xf numFmtId="0" fontId="7" fillId="7" borderId="9" xfId="0" applyFont="1" applyFill="1" applyBorder="1" applyProtection="1">
      <protection locked="0"/>
    </xf>
    <xf numFmtId="0" fontId="7" fillId="7" borderId="10" xfId="0" applyFont="1" applyFill="1" applyBorder="1" applyProtection="1">
      <protection locked="0"/>
    </xf>
    <xf numFmtId="0" fontId="7" fillId="7" borderId="24" xfId="0" applyFont="1" applyFill="1" applyBorder="1" applyProtection="1">
      <protection locked="0"/>
    </xf>
  </cellXfs>
  <cellStyles count="2">
    <cellStyle name="Normal" xfId="0" builtinId="0"/>
    <cellStyle name="Normal 2" xfId="1"/>
  </cellStyles>
  <dxfs count="17"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ont>
        <b/>
        <i/>
        <color rgb="FFFF0000"/>
      </font>
      <fill>
        <patternFill patternType="solid">
          <fgColor rgb="FFF7CAAC"/>
          <bgColor rgb="FFF7CAAC"/>
        </patternFill>
      </fill>
    </dxf>
    <dxf>
      <fill>
        <patternFill patternType="solid">
          <fgColor rgb="FFFBE4D5"/>
          <bgColor rgb="FFFBE4D5"/>
        </patternFill>
      </fill>
    </dxf>
    <dxf>
      <font>
        <b/>
        <i/>
        <color rgb="FFFF0000"/>
      </font>
      <fill>
        <patternFill patternType="solid">
          <fgColor rgb="FFF7CAAC"/>
          <bgColor rgb="FFF7CAAC"/>
        </patternFill>
      </fill>
    </dxf>
    <dxf>
      <fill>
        <patternFill patternType="solid">
          <fgColor theme="0"/>
          <bgColor theme="0"/>
        </patternFill>
      </fill>
    </dxf>
    <dxf>
      <font>
        <b/>
        <i/>
        <color rgb="FFFF0000"/>
      </font>
      <fill>
        <patternFill patternType="solid">
          <fgColor rgb="FFF7CAAC"/>
          <bgColor rgb="FFF7CAAC"/>
        </patternFill>
      </fill>
    </dxf>
    <dxf>
      <fill>
        <patternFill patternType="solid">
          <fgColor theme="0"/>
          <bgColor theme="0"/>
        </patternFill>
      </fill>
    </dxf>
    <dxf>
      <font>
        <b/>
        <i/>
        <color rgb="FFFF0000"/>
      </font>
      <fill>
        <patternFill patternType="solid">
          <fgColor rgb="FFF7CAAC"/>
          <bgColor rgb="FFF7CAAC"/>
        </patternFill>
      </fill>
    </dxf>
    <dxf>
      <fill>
        <patternFill patternType="solid">
          <fgColor theme="0"/>
          <bgColor theme="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000"/>
  <sheetViews>
    <sheetView showGridLines="0" tabSelected="1" zoomScale="55" zoomScaleNormal="55" workbookViewId="0">
      <selection activeCell="C11" sqref="C11:F15"/>
    </sheetView>
  </sheetViews>
  <sheetFormatPr defaultColWidth="0" defaultRowHeight="15" customHeight="1" zeroHeight="1" x14ac:dyDescent="0.25"/>
  <cols>
    <col min="1" max="1" width="19.7109375" style="3" customWidth="1"/>
    <col min="2" max="2" width="20.42578125" style="3" customWidth="1"/>
    <col min="3" max="3" width="39.140625" style="3" customWidth="1"/>
    <col min="4" max="4" width="29.7109375" style="3" customWidth="1"/>
    <col min="5" max="6" width="39.28515625" style="3" customWidth="1"/>
    <col min="7" max="7" width="2.140625" style="3" customWidth="1"/>
    <col min="8" max="8" width="8.7109375" style="3" customWidth="1"/>
    <col min="9" max="9" width="9.5703125" style="3" customWidth="1"/>
    <col min="10" max="11" width="8.7109375" style="3" hidden="1" customWidth="1"/>
    <col min="12" max="26" width="0" style="3" hidden="1" customWidth="1"/>
    <col min="27" max="16384" width="14.42578125" style="3" hidden="1"/>
  </cols>
  <sheetData>
    <row r="1" spans="1:26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3.25" x14ac:dyDescent="0.25">
      <c r="A2" s="29" t="s">
        <v>0</v>
      </c>
      <c r="B2" s="30"/>
      <c r="C2" s="30"/>
      <c r="D2" s="30"/>
      <c r="E2" s="30"/>
      <c r="F2" s="31"/>
      <c r="G2" s="27"/>
      <c r="H2" s="2"/>
      <c r="I2" s="2"/>
      <c r="J2" s="2"/>
      <c r="K2" s="4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x14ac:dyDescent="0.25">
      <c r="A3" s="32" t="s">
        <v>2</v>
      </c>
      <c r="B3" s="33"/>
      <c r="C3" s="33"/>
      <c r="D3" s="33"/>
      <c r="E3" s="33"/>
      <c r="F3" s="34"/>
      <c r="G3" s="27"/>
      <c r="H3" s="2"/>
      <c r="I3" s="2"/>
      <c r="J3" s="2"/>
      <c r="K3" s="4" t="s">
        <v>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9" customHeight="1" x14ac:dyDescent="0.25">
      <c r="A4" s="35" t="s">
        <v>4</v>
      </c>
      <c r="B4" s="36"/>
      <c r="C4" s="36"/>
      <c r="D4" s="36"/>
      <c r="E4" s="36"/>
      <c r="F4" s="37"/>
      <c r="G4" s="27"/>
      <c r="H4" s="2"/>
      <c r="I4" s="2"/>
      <c r="J4" s="2"/>
      <c r="K4" s="4" t="s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x14ac:dyDescent="0.25">
      <c r="A5" s="38" t="s">
        <v>6</v>
      </c>
      <c r="B5" s="33"/>
      <c r="C5" s="33"/>
      <c r="D5" s="33"/>
      <c r="E5" s="33"/>
      <c r="F5" s="34"/>
      <c r="G5" s="27"/>
      <c r="H5" s="2"/>
      <c r="I5" s="2"/>
      <c r="J5" s="2"/>
      <c r="K5" s="4" t="s">
        <v>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x14ac:dyDescent="0.25">
      <c r="A6" s="39"/>
      <c r="B6" s="5"/>
      <c r="C6" s="5"/>
      <c r="D6" s="5"/>
      <c r="E6" s="5"/>
      <c r="F6" s="40"/>
      <c r="G6" s="27"/>
      <c r="H6" s="2"/>
      <c r="I6" s="2"/>
      <c r="J6" s="2"/>
      <c r="K6" s="4" t="s">
        <v>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41" t="s">
        <v>9</v>
      </c>
      <c r="B7" s="15"/>
      <c r="C7" s="16" t="s">
        <v>40</v>
      </c>
      <c r="D7" s="17"/>
      <c r="E7" s="6" t="s">
        <v>10</v>
      </c>
      <c r="F7" s="42"/>
      <c r="G7" s="2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41" t="s">
        <v>11</v>
      </c>
      <c r="B8" s="15"/>
      <c r="C8" s="16"/>
      <c r="D8" s="17"/>
      <c r="E8" s="6" t="s">
        <v>12</v>
      </c>
      <c r="F8" s="42"/>
      <c r="G8" s="2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1" t="s">
        <v>13</v>
      </c>
      <c r="B9" s="15"/>
      <c r="C9" s="16"/>
      <c r="D9" s="17"/>
      <c r="E9" s="6" t="s">
        <v>14</v>
      </c>
      <c r="F9" s="42"/>
      <c r="G9" s="2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41" t="s">
        <v>15</v>
      </c>
      <c r="B10" s="15"/>
      <c r="C10" s="16" t="s">
        <v>16</v>
      </c>
      <c r="D10" s="17"/>
      <c r="E10" s="6" t="s">
        <v>17</v>
      </c>
      <c r="F10" s="42"/>
      <c r="G10" s="2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43" t="s">
        <v>18</v>
      </c>
      <c r="B11" s="18"/>
      <c r="C11" s="86"/>
      <c r="D11" s="87"/>
      <c r="E11" s="87"/>
      <c r="F11" s="88"/>
      <c r="G11" s="2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44"/>
      <c r="B12" s="45"/>
      <c r="C12" s="89"/>
      <c r="D12" s="90"/>
      <c r="E12" s="90"/>
      <c r="F12" s="91"/>
      <c r="G12" s="2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44"/>
      <c r="B13" s="45"/>
      <c r="C13" s="89"/>
      <c r="D13" s="90"/>
      <c r="E13" s="90"/>
      <c r="F13" s="91"/>
      <c r="G13" s="2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44"/>
      <c r="B14" s="45"/>
      <c r="C14" s="89"/>
      <c r="D14" s="90"/>
      <c r="E14" s="90"/>
      <c r="F14" s="91"/>
      <c r="G14" s="2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46"/>
      <c r="B15" s="22"/>
      <c r="C15" s="92"/>
      <c r="D15" s="93"/>
      <c r="E15" s="93"/>
      <c r="F15" s="94"/>
      <c r="G15" s="2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47"/>
      <c r="B16" s="27"/>
      <c r="C16" s="27"/>
      <c r="D16" s="27"/>
      <c r="E16" s="27"/>
      <c r="F16" s="48"/>
      <c r="G16" s="2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49" t="s">
        <v>19</v>
      </c>
      <c r="B17" s="50" t="s">
        <v>20</v>
      </c>
      <c r="C17" s="51" t="s">
        <v>21</v>
      </c>
      <c r="D17" s="20"/>
      <c r="E17" s="20"/>
      <c r="F17" s="52" t="s">
        <v>22</v>
      </c>
      <c r="G17" s="2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25">
      <c r="A18" s="53" t="s">
        <v>1</v>
      </c>
      <c r="B18" s="14"/>
      <c r="C18" s="21"/>
      <c r="D18" s="54"/>
      <c r="E18" s="17"/>
      <c r="F18" s="55"/>
      <c r="G18" s="2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53" t="s">
        <v>3</v>
      </c>
      <c r="B19" s="14"/>
      <c r="C19" s="21"/>
      <c r="D19" s="54"/>
      <c r="E19" s="17"/>
      <c r="F19" s="55"/>
      <c r="G19" s="2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25">
      <c r="A20" s="53" t="s">
        <v>5</v>
      </c>
      <c r="B20" s="14"/>
      <c r="C20" s="21"/>
      <c r="D20" s="54"/>
      <c r="E20" s="17"/>
      <c r="F20" s="55"/>
      <c r="G20" s="2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25">
      <c r="A21" s="53" t="s">
        <v>7</v>
      </c>
      <c r="B21" s="14"/>
      <c r="C21" s="21"/>
      <c r="D21" s="54"/>
      <c r="E21" s="17"/>
      <c r="F21" s="55"/>
      <c r="G21" s="2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25">
      <c r="A22" s="53" t="s">
        <v>8</v>
      </c>
      <c r="B22" s="14"/>
      <c r="C22" s="21"/>
      <c r="D22" s="54"/>
      <c r="E22" s="17"/>
      <c r="F22" s="55"/>
      <c r="G22" s="2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25">
      <c r="A23" s="53"/>
      <c r="B23" s="14"/>
      <c r="C23" s="21"/>
      <c r="D23" s="54"/>
      <c r="E23" s="17"/>
      <c r="F23" s="55"/>
      <c r="G23" s="27"/>
      <c r="H23" s="2"/>
      <c r="I23" s="2"/>
      <c r="J23" s="2"/>
      <c r="K23" s="1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25">
      <c r="A24" s="53"/>
      <c r="B24" s="14"/>
      <c r="C24" s="83"/>
      <c r="D24" s="84"/>
      <c r="E24" s="85"/>
      <c r="F24" s="55"/>
      <c r="G24" s="2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3"/>
      <c r="B25" s="14"/>
      <c r="C25" s="21"/>
      <c r="D25" s="54"/>
      <c r="E25" s="17"/>
      <c r="F25" s="55"/>
      <c r="G25" s="2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3"/>
      <c r="B26" s="14"/>
      <c r="C26" s="21"/>
      <c r="D26" s="54"/>
      <c r="E26" s="17"/>
      <c r="F26" s="55"/>
      <c r="G26" s="2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3"/>
      <c r="B27" s="14"/>
      <c r="C27" s="21"/>
      <c r="D27" s="54"/>
      <c r="E27" s="17"/>
      <c r="F27" s="55"/>
      <c r="G27" s="2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47"/>
      <c r="B28" s="27"/>
      <c r="C28" s="27"/>
      <c r="D28" s="27"/>
      <c r="E28" s="27"/>
      <c r="F28" s="48"/>
      <c r="G28" s="2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4.5" customHeight="1" x14ac:dyDescent="0.25">
      <c r="A29" s="56" t="s">
        <v>23</v>
      </c>
      <c r="B29" s="20"/>
      <c r="C29" s="20"/>
      <c r="D29" s="20"/>
      <c r="E29" s="20"/>
      <c r="F29" s="57"/>
      <c r="G29" s="2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4.5" customHeight="1" x14ac:dyDescent="0.25">
      <c r="A30" s="58" t="s">
        <v>37</v>
      </c>
      <c r="B30" s="23"/>
      <c r="C30" s="23"/>
      <c r="D30" s="23"/>
      <c r="E30" s="23"/>
      <c r="F30" s="59"/>
      <c r="G30" s="2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4.5" customHeight="1" x14ac:dyDescent="0.25">
      <c r="A31" s="60" t="s">
        <v>19</v>
      </c>
      <c r="B31" s="7" t="s">
        <v>20</v>
      </c>
      <c r="C31" s="7" t="s">
        <v>21</v>
      </c>
      <c r="D31" s="7" t="s">
        <v>24</v>
      </c>
      <c r="E31" s="1" t="s">
        <v>25</v>
      </c>
      <c r="F31" s="61" t="s">
        <v>26</v>
      </c>
      <c r="G31" s="2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 x14ac:dyDescent="0.25">
      <c r="A32" s="62" t="str">
        <f t="shared" ref="A32:B32" si="0">IF(A18="","",A18)</f>
        <v>Art. 46, I</v>
      </c>
      <c r="B32" s="8" t="str">
        <f t="shared" si="0"/>
        <v/>
      </c>
      <c r="C32" s="9" t="str">
        <f t="shared" ref="C32:C41" si="1">IF(B18="","",C18)</f>
        <v/>
      </c>
      <c r="D32" s="10" t="str">
        <f>IF(B32="","",IF(SUM(B33:B41)=0,"AUSÊNCIA DE OUTRO PREÇO",AVERAGE(B33:B41)))</f>
        <v/>
      </c>
      <c r="E32" s="11" t="str">
        <f>IF(B32="","",IF(D32="AUSÊNCIA DE OUTRO PREÇO","",B32/D32-1))</f>
        <v/>
      </c>
      <c r="F32" s="61" t="str">
        <f t="shared" ref="F32:F41" si="2">IF(E32="","",IF(E32&gt;30%,"EXCESSIVAMENTE ELEVADO","APROVADO"))</f>
        <v/>
      </c>
      <c r="G32" s="2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5" customHeight="1" x14ac:dyDescent="0.25">
      <c r="A33" s="62" t="str">
        <f t="shared" ref="A33:B33" si="3">IF(A19="","",A19)</f>
        <v>Art. 46, II</v>
      </c>
      <c r="B33" s="8" t="str">
        <f t="shared" si="3"/>
        <v/>
      </c>
      <c r="C33" s="9" t="str">
        <f t="shared" si="1"/>
        <v/>
      </c>
      <c r="D33" s="10" t="str">
        <f>IF(B33="","",IF(SUM(B34:B41,B32)=0,"AUSÊNCIA DE OUTRO PREÇO",AVERAGE(B34:B41,B32)))</f>
        <v/>
      </c>
      <c r="E33" s="11" t="str">
        <f t="shared" ref="E33:E41" si="4">IF(B33="","",IF(D33="AUSÊNCIA DE OUTRO PREÇO","",B33/D33-1))</f>
        <v/>
      </c>
      <c r="F33" s="61" t="str">
        <f t="shared" si="2"/>
        <v/>
      </c>
      <c r="G33" s="2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5" customHeight="1" x14ac:dyDescent="0.25">
      <c r="A34" s="62" t="str">
        <f t="shared" ref="A34:B34" si="5">IF(A20="","",A20)</f>
        <v>Art. 46, III</v>
      </c>
      <c r="B34" s="8" t="str">
        <f t="shared" si="5"/>
        <v/>
      </c>
      <c r="C34" s="9" t="str">
        <f t="shared" si="1"/>
        <v/>
      </c>
      <c r="D34" s="10" t="str">
        <f>IF(B34="","",IF(SUM(B35:B41,B32:B33)=0,"AUSÊNCIA DE OUTRO PREÇO",AVERAGE(B35:B41,B32:B33)))</f>
        <v/>
      </c>
      <c r="E34" s="11" t="str">
        <f t="shared" si="4"/>
        <v/>
      </c>
      <c r="F34" s="61" t="str">
        <f t="shared" si="2"/>
        <v/>
      </c>
      <c r="G34" s="2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5" customHeight="1" x14ac:dyDescent="0.25">
      <c r="A35" s="62" t="str">
        <f t="shared" ref="A35:B35" si="6">IF(A21="","",A21)</f>
        <v>Art. 46, IV</v>
      </c>
      <c r="B35" s="8" t="str">
        <f t="shared" si="6"/>
        <v/>
      </c>
      <c r="C35" s="9" t="str">
        <f t="shared" si="1"/>
        <v/>
      </c>
      <c r="D35" s="10" t="str">
        <f>IF(B35="","",IF(SUM(B36:B41,B32:B34)=0,"AUSÊNCIA DE OUTRO PREÇO",AVERAGE(B36:B41,B32:B34)))</f>
        <v/>
      </c>
      <c r="E35" s="11" t="str">
        <f t="shared" si="4"/>
        <v/>
      </c>
      <c r="F35" s="61" t="str">
        <f t="shared" si="2"/>
        <v/>
      </c>
      <c r="G35" s="2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5" customHeight="1" x14ac:dyDescent="0.25">
      <c r="A36" s="62" t="str">
        <f t="shared" ref="A36:B37" si="7">IF(A22="","",A22)</f>
        <v>Art. 46, V</v>
      </c>
      <c r="B36" s="8" t="str">
        <f t="shared" si="7"/>
        <v/>
      </c>
      <c r="C36" s="9" t="str">
        <f t="shared" si="1"/>
        <v/>
      </c>
      <c r="D36" s="10" t="str">
        <f>IF(B36="","",IF(SUM(B37:B41,B32:B35)=0,"AUSÊNCIA DE OUTRO PREÇO",AVERAGE(B37:B41,B32:B35)))</f>
        <v/>
      </c>
      <c r="E36" s="11" t="str">
        <f t="shared" si="4"/>
        <v/>
      </c>
      <c r="F36" s="61" t="str">
        <f t="shared" si="2"/>
        <v/>
      </c>
      <c r="G36" s="2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5" customHeight="1" x14ac:dyDescent="0.25">
      <c r="A37" s="62" t="str">
        <f t="shared" ref="A37" si="8">IF(A23="","",A23)</f>
        <v/>
      </c>
      <c r="B37" s="8" t="str">
        <f t="shared" si="7"/>
        <v/>
      </c>
      <c r="C37" s="9" t="str">
        <f t="shared" ref="C37" si="9">IF(B23="","",C23)</f>
        <v/>
      </c>
      <c r="D37" s="10" t="str">
        <f>IF(B37="","",IF(SUM(B38:B42,B33:B36)=0,"AUSÊNCIA DE OUTRO PREÇO",AVERAGE(B38:B42,B33:B36)))</f>
        <v/>
      </c>
      <c r="E37" s="11" t="str">
        <f t="shared" ref="E37" si="10">IF(B37="","",IF(D37="AUSÊNCIA DE OUTRO PREÇO","",B37/D37-1))</f>
        <v/>
      </c>
      <c r="F37" s="61" t="str">
        <f t="shared" ref="F37" si="11">IF(E37="","",IF(E37&gt;30%,"EXCESSIVAMENTE ELEVADO","APROVADO"))</f>
        <v/>
      </c>
      <c r="G37" s="2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9.5" customHeight="1" x14ac:dyDescent="0.25">
      <c r="A38" s="62" t="str">
        <f t="shared" ref="A38:B38" si="12">IF(A24="","",A24)</f>
        <v/>
      </c>
      <c r="B38" s="8" t="str">
        <f t="shared" si="12"/>
        <v/>
      </c>
      <c r="C38" s="9" t="str">
        <f t="shared" si="1"/>
        <v/>
      </c>
      <c r="D38" s="10" t="str">
        <f>IF(B38="","",IF(SUM(B39:B41,B32:B37)=0,"AUSÊNCIA DE OUTRO PREÇO",AVERAGE(B39:B41,B32:B37)))</f>
        <v/>
      </c>
      <c r="E38" s="11" t="str">
        <f t="shared" si="4"/>
        <v/>
      </c>
      <c r="F38" s="61" t="str">
        <f t="shared" si="2"/>
        <v/>
      </c>
      <c r="G38" s="2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9.5" customHeight="1" x14ac:dyDescent="0.25">
      <c r="A39" s="62" t="str">
        <f t="shared" ref="A39:B39" si="13">IF(A25="","",A25)</f>
        <v/>
      </c>
      <c r="B39" s="8" t="str">
        <f t="shared" si="13"/>
        <v/>
      </c>
      <c r="C39" s="9" t="str">
        <f t="shared" si="1"/>
        <v/>
      </c>
      <c r="D39" s="10" t="str">
        <f>IF(B39="","",IF(SUM(B40:B41,B32:B38)=0,"AUSÊNCIA DE OUTRO PREÇO",AVERAGE(B40:B41,B32:B38)))</f>
        <v/>
      </c>
      <c r="E39" s="11" t="str">
        <f t="shared" si="4"/>
        <v/>
      </c>
      <c r="F39" s="61" t="str">
        <f t="shared" si="2"/>
        <v/>
      </c>
      <c r="G39" s="2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9.5" customHeight="1" x14ac:dyDescent="0.25">
      <c r="A40" s="62" t="str">
        <f t="shared" ref="A40:B40" si="14">IF(A26="","",A26)</f>
        <v/>
      </c>
      <c r="B40" s="8" t="str">
        <f t="shared" si="14"/>
        <v/>
      </c>
      <c r="C40" s="9" t="str">
        <f t="shared" si="1"/>
        <v/>
      </c>
      <c r="D40" s="10" t="str">
        <f>IF(B40="","",IF(SUM(B41,B32:B39)=0,"AUSÊNCIA DE OUTRO PREÇO",AVERAGE(B41,B32:B39)))</f>
        <v/>
      </c>
      <c r="E40" s="11" t="str">
        <f t="shared" si="4"/>
        <v/>
      </c>
      <c r="F40" s="61" t="str">
        <f t="shared" si="2"/>
        <v/>
      </c>
      <c r="G40" s="2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9.5" customHeight="1" x14ac:dyDescent="0.25">
      <c r="A41" s="62" t="str">
        <f t="shared" ref="A41:B41" si="15">IF(A27="","",A27)</f>
        <v/>
      </c>
      <c r="B41" s="8" t="str">
        <f t="shared" si="15"/>
        <v/>
      </c>
      <c r="C41" s="9" t="str">
        <f t="shared" si="1"/>
        <v/>
      </c>
      <c r="D41" s="10" t="str">
        <f>IF(B41="","",IF(SUM(B32:B40)=0,"AUSÊNCIA DE OUTRO PREÇO",AVERAGE(B32:B40)))</f>
        <v/>
      </c>
      <c r="E41" s="11" t="str">
        <f t="shared" si="4"/>
        <v/>
      </c>
      <c r="F41" s="61" t="str">
        <f t="shared" si="2"/>
        <v/>
      </c>
      <c r="G41" s="2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47"/>
      <c r="B42" s="27"/>
      <c r="C42" s="27"/>
      <c r="D42" s="27"/>
      <c r="E42" s="27"/>
      <c r="F42" s="48"/>
      <c r="G42" s="2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4.5" customHeight="1" x14ac:dyDescent="0.25">
      <c r="A43" s="56" t="s">
        <v>27</v>
      </c>
      <c r="B43" s="20"/>
      <c r="C43" s="20"/>
      <c r="D43" s="20"/>
      <c r="E43" s="20"/>
      <c r="F43" s="57"/>
      <c r="G43" s="2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4.5" customHeight="1" x14ac:dyDescent="0.25">
      <c r="A44" s="58" t="s">
        <v>38</v>
      </c>
      <c r="B44" s="23"/>
      <c r="C44" s="23"/>
      <c r="D44" s="23"/>
      <c r="E44" s="23"/>
      <c r="F44" s="59"/>
      <c r="G44" s="2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6.75" customHeight="1" x14ac:dyDescent="0.25">
      <c r="A45" s="62" t="s">
        <v>19</v>
      </c>
      <c r="B45" s="1" t="s">
        <v>20</v>
      </c>
      <c r="C45" s="7" t="s">
        <v>21</v>
      </c>
      <c r="D45" s="7" t="s">
        <v>24</v>
      </c>
      <c r="E45" s="1" t="s">
        <v>28</v>
      </c>
      <c r="F45" s="61" t="s">
        <v>26</v>
      </c>
      <c r="G45" s="2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9.5" customHeight="1" x14ac:dyDescent="0.25">
      <c r="A46" s="62" t="str">
        <f>IF(B32="","",IF(E32&gt;30%,"",A32))</f>
        <v/>
      </c>
      <c r="B46" s="10" t="str">
        <f t="shared" ref="B46:B55" si="16">IF(B32="","",IF(E32&gt;30%,"",B32))</f>
        <v/>
      </c>
      <c r="C46" s="9" t="str">
        <f t="shared" ref="C46:C55" si="17">IF(B46="","",C18)</f>
        <v/>
      </c>
      <c r="D46" s="10" t="str">
        <f>IF(B46="","",IF(SUM(B47:B55)=0,"AUSÊNCIA DE OUTRO PREÇO",AVERAGE(B47:B55)))</f>
        <v/>
      </c>
      <c r="E46" s="11" t="str">
        <f t="shared" ref="E46:E55" si="18">IF(B46="","",IF(D46="AUSÊNCIA DE OUTRO PREÇO","",B46/D46))</f>
        <v/>
      </c>
      <c r="F46" s="61" t="str">
        <f>IF(B46="","",IF(F18="S",IF(E46&lt;70%,"EXCEÇÃO - PREÇO PÚBLICO","APROVADO"),IF(E46&lt;70%,"INEXEQUÍVEL","APROVADO")))</f>
        <v/>
      </c>
      <c r="G46" s="2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9.5" customHeight="1" x14ac:dyDescent="0.25">
      <c r="A47" s="62" t="str">
        <f t="shared" ref="A47:A55" si="19">IF(B33="","",IF(E33&gt;30%,"",A33))</f>
        <v/>
      </c>
      <c r="B47" s="10" t="str">
        <f t="shared" si="16"/>
        <v/>
      </c>
      <c r="C47" s="9" t="str">
        <f t="shared" si="17"/>
        <v/>
      </c>
      <c r="D47" s="10" t="str">
        <f>IF(B47="","",IF(SUM(B48:B55,B46)=0,"AUSÊNCIA DE OUTRO PREÇO",AVERAGE(B48:B55,B46)))</f>
        <v/>
      </c>
      <c r="E47" s="11" t="str">
        <f t="shared" si="18"/>
        <v/>
      </c>
      <c r="F47" s="61" t="str">
        <f t="shared" ref="F47:F55" si="20">IF(B47="","",IF(F19="S",IF(E47&lt;70%,"EXCEÇÃO - PREÇO PÚBLICO","APROVADO"),IF(E47&lt;70%,"INEXEQUÍVEL","APROVADO")))</f>
        <v/>
      </c>
      <c r="G47" s="2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9.5" customHeight="1" x14ac:dyDescent="0.25">
      <c r="A48" s="62" t="str">
        <f t="shared" si="19"/>
        <v/>
      </c>
      <c r="B48" s="10" t="str">
        <f t="shared" si="16"/>
        <v/>
      </c>
      <c r="C48" s="9" t="str">
        <f t="shared" si="17"/>
        <v/>
      </c>
      <c r="D48" s="10" t="str">
        <f>IF(B48="","",IF(SUM(B49:B55,B46:B47)=0,"AUSÊNCIA DE OUTRO PREÇO",AVERAGE(B49:B55,B46:B47)))</f>
        <v/>
      </c>
      <c r="E48" s="11" t="str">
        <f t="shared" si="18"/>
        <v/>
      </c>
      <c r="F48" s="61" t="str">
        <f t="shared" si="20"/>
        <v/>
      </c>
      <c r="G48" s="2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9.5" customHeight="1" x14ac:dyDescent="0.25">
      <c r="A49" s="62" t="str">
        <f t="shared" si="19"/>
        <v/>
      </c>
      <c r="B49" s="10" t="str">
        <f t="shared" si="16"/>
        <v/>
      </c>
      <c r="C49" s="9" t="str">
        <f t="shared" si="17"/>
        <v/>
      </c>
      <c r="D49" s="10" t="str">
        <f>IF(B49="","",IF(SUM(B50:B55,B46:B48)=0,"AUSÊNCIA DE OUTRO PREÇO",AVERAGE(B50:B55,B46:B48)))</f>
        <v/>
      </c>
      <c r="E49" s="11" t="str">
        <f t="shared" si="18"/>
        <v/>
      </c>
      <c r="F49" s="61" t="str">
        <f t="shared" si="20"/>
        <v/>
      </c>
      <c r="G49" s="2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9.5" customHeight="1" x14ac:dyDescent="0.25">
      <c r="A50" s="62" t="str">
        <f t="shared" si="19"/>
        <v/>
      </c>
      <c r="B50" s="10" t="str">
        <f t="shared" si="16"/>
        <v/>
      </c>
      <c r="C50" s="9" t="str">
        <f t="shared" si="17"/>
        <v/>
      </c>
      <c r="D50" s="10" t="str">
        <f>IF(B50="","",IF(SUM(B51:B55,B46:B49)=0,"AUSÊNCIA DE OUTRO PREÇO",AVERAGE(B51:B55,B46:B49)))</f>
        <v/>
      </c>
      <c r="E50" s="11" t="str">
        <f t="shared" si="18"/>
        <v/>
      </c>
      <c r="F50" s="61" t="str">
        <f t="shared" si="20"/>
        <v/>
      </c>
      <c r="G50" s="2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9.5" customHeight="1" x14ac:dyDescent="0.25">
      <c r="A51" s="62" t="str">
        <f t="shared" si="19"/>
        <v/>
      </c>
      <c r="B51" s="10" t="str">
        <f t="shared" si="16"/>
        <v/>
      </c>
      <c r="C51" s="9" t="str">
        <f t="shared" si="17"/>
        <v/>
      </c>
      <c r="D51" s="10" t="str">
        <f>IF(B51="","",IF(SUM(B52:B55,B46:B50)=0,"AUSÊNCIA DE OUTRO PREÇO",AVERAGE(B52:B55,B46:B50)))</f>
        <v/>
      </c>
      <c r="E51" s="11" t="str">
        <f t="shared" si="18"/>
        <v/>
      </c>
      <c r="F51" s="61" t="str">
        <f t="shared" si="20"/>
        <v/>
      </c>
      <c r="G51" s="2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9.5" customHeight="1" x14ac:dyDescent="0.25">
      <c r="A52" s="62" t="str">
        <f t="shared" si="19"/>
        <v/>
      </c>
      <c r="B52" s="10" t="str">
        <f t="shared" si="16"/>
        <v/>
      </c>
      <c r="C52" s="9" t="str">
        <f t="shared" si="17"/>
        <v/>
      </c>
      <c r="D52" s="10" t="str">
        <f>IF(B52="","",IF(SUM(B53:B55,B46:B51)=0,"AUSÊNCIA DE OUTRO PREÇO",AVERAGE(B53:B55,B46:B51)))</f>
        <v/>
      </c>
      <c r="E52" s="11" t="str">
        <f t="shared" si="18"/>
        <v/>
      </c>
      <c r="F52" s="61" t="str">
        <f t="shared" si="20"/>
        <v/>
      </c>
      <c r="G52" s="2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9.5" customHeight="1" x14ac:dyDescent="0.25">
      <c r="A53" s="62" t="str">
        <f t="shared" si="19"/>
        <v/>
      </c>
      <c r="B53" s="10" t="str">
        <f t="shared" si="16"/>
        <v/>
      </c>
      <c r="C53" s="9" t="str">
        <f t="shared" si="17"/>
        <v/>
      </c>
      <c r="D53" s="10" t="str">
        <f>IF(B53="","",IF(SUM(B54:B55,B46:B52)=0,"AUSÊNCIA DE OUTRO PREÇO",AVERAGE(B54:B55,B46:B52)))</f>
        <v/>
      </c>
      <c r="E53" s="11" t="str">
        <f t="shared" si="18"/>
        <v/>
      </c>
      <c r="F53" s="61" t="str">
        <f t="shared" si="20"/>
        <v/>
      </c>
      <c r="G53" s="2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9.5" customHeight="1" x14ac:dyDescent="0.25">
      <c r="A54" s="62" t="str">
        <f t="shared" si="19"/>
        <v/>
      </c>
      <c r="B54" s="10" t="str">
        <f t="shared" si="16"/>
        <v/>
      </c>
      <c r="C54" s="9" t="str">
        <f t="shared" si="17"/>
        <v/>
      </c>
      <c r="D54" s="10" t="str">
        <f>IF(B54="","",IF(SUM(B55,B46:B53)=0,"AUSÊNCIA DE OUTRO PREÇO",AVERAGE(B55,B46:B53)))</f>
        <v/>
      </c>
      <c r="E54" s="11" t="str">
        <f t="shared" si="18"/>
        <v/>
      </c>
      <c r="F54" s="61" t="str">
        <f t="shared" si="20"/>
        <v/>
      </c>
      <c r="G54" s="2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9.5" customHeight="1" x14ac:dyDescent="0.25">
      <c r="A55" s="62" t="str">
        <f t="shared" si="19"/>
        <v/>
      </c>
      <c r="B55" s="10" t="str">
        <f t="shared" si="16"/>
        <v/>
      </c>
      <c r="C55" s="9" t="str">
        <f t="shared" si="17"/>
        <v/>
      </c>
      <c r="D55" s="10" t="str">
        <f>IF(B55="","",IF(SUM(B46:B54)=0,"AUSÊNCIA DE OUTRO PREÇO",AVERAGE(B46:B54)))</f>
        <v/>
      </c>
      <c r="E55" s="11" t="str">
        <f t="shared" si="18"/>
        <v/>
      </c>
      <c r="F55" s="61" t="str">
        <f t="shared" si="20"/>
        <v/>
      </c>
      <c r="G55" s="2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47"/>
      <c r="B56" s="27"/>
      <c r="C56" s="27"/>
      <c r="D56" s="27"/>
      <c r="E56" s="27"/>
      <c r="F56" s="48"/>
      <c r="G56" s="2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4.5" customHeight="1" x14ac:dyDescent="0.25">
      <c r="A57" s="56" t="s">
        <v>29</v>
      </c>
      <c r="B57" s="20"/>
      <c r="C57" s="20"/>
      <c r="D57" s="20"/>
      <c r="E57" s="20"/>
      <c r="F57" s="57"/>
      <c r="G57" s="2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0.75" customHeight="1" x14ac:dyDescent="0.25">
      <c r="A58" s="62" t="s">
        <v>19</v>
      </c>
      <c r="B58" s="7" t="s">
        <v>30</v>
      </c>
      <c r="C58" s="25" t="s">
        <v>21</v>
      </c>
      <c r="D58" s="15"/>
      <c r="E58" s="25" t="s">
        <v>31</v>
      </c>
      <c r="F58" s="59"/>
      <c r="G58" s="2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9.5" customHeight="1" x14ac:dyDescent="0.25">
      <c r="A59" s="62" t="str">
        <f t="shared" ref="A59:A68" si="21">IF(B46="","",IF(F18="S",A46,IF(E46="",B46,IF(E46&lt;70%,"",A46))))</f>
        <v/>
      </c>
      <c r="B59" s="12" t="str">
        <f>IF(B46="","",IF(F18="S",B46,IF(E46="",B46,IF(E46&lt;70%,"",B46))))</f>
        <v/>
      </c>
      <c r="C59" s="24" t="str">
        <f t="shared" ref="C59:C68" si="22">IF(B59="","",C18)</f>
        <v/>
      </c>
      <c r="D59" s="15"/>
      <c r="E59" s="26" t="str">
        <f>IF(SUM(B59:B68)&lt;=0,"",TRUNC(AVERAGE(B59:B68),2))</f>
        <v/>
      </c>
      <c r="F59" s="63"/>
      <c r="G59" s="2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9.5" customHeight="1" x14ac:dyDescent="0.25">
      <c r="A60" s="62" t="str">
        <f t="shared" si="21"/>
        <v/>
      </c>
      <c r="B60" s="12" t="str">
        <f t="shared" ref="B60:B68" si="23">IF(B47="","",IF(F19="S",B47,IF(E47="",B47,IF(E47&lt;70%,"",B47))))</f>
        <v/>
      </c>
      <c r="C60" s="24" t="str">
        <f t="shared" si="22"/>
        <v/>
      </c>
      <c r="D60" s="15"/>
      <c r="E60" s="19"/>
      <c r="F60" s="34"/>
      <c r="G60" s="2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9.5" customHeight="1" x14ac:dyDescent="0.25">
      <c r="A61" s="62" t="str">
        <f t="shared" si="21"/>
        <v/>
      </c>
      <c r="B61" s="12" t="str">
        <f t="shared" si="23"/>
        <v/>
      </c>
      <c r="C61" s="24" t="str">
        <f t="shared" si="22"/>
        <v/>
      </c>
      <c r="D61" s="15"/>
      <c r="E61" s="19"/>
      <c r="F61" s="34"/>
      <c r="G61" s="2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9.5" customHeight="1" x14ac:dyDescent="0.25">
      <c r="A62" s="62" t="str">
        <f t="shared" si="21"/>
        <v/>
      </c>
      <c r="B62" s="12" t="str">
        <f t="shared" si="23"/>
        <v/>
      </c>
      <c r="C62" s="24" t="str">
        <f t="shared" si="22"/>
        <v/>
      </c>
      <c r="D62" s="15"/>
      <c r="E62" s="19"/>
      <c r="F62" s="34"/>
      <c r="G62" s="2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9.5" customHeight="1" x14ac:dyDescent="0.25">
      <c r="A63" s="62" t="str">
        <f t="shared" si="21"/>
        <v/>
      </c>
      <c r="B63" s="12" t="str">
        <f t="shared" si="23"/>
        <v/>
      </c>
      <c r="C63" s="24" t="str">
        <f t="shared" si="22"/>
        <v/>
      </c>
      <c r="D63" s="15"/>
      <c r="E63" s="19"/>
      <c r="F63" s="34"/>
      <c r="G63" s="2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9.5" customHeight="1" x14ac:dyDescent="0.25">
      <c r="A64" s="62" t="str">
        <f t="shared" si="21"/>
        <v/>
      </c>
      <c r="B64" s="12" t="str">
        <f t="shared" si="23"/>
        <v/>
      </c>
      <c r="C64" s="24" t="str">
        <f t="shared" si="22"/>
        <v/>
      </c>
      <c r="D64" s="15"/>
      <c r="E64" s="19"/>
      <c r="F64" s="34"/>
      <c r="G64" s="2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9.5" customHeight="1" x14ac:dyDescent="0.25">
      <c r="A65" s="62" t="str">
        <f t="shared" si="21"/>
        <v/>
      </c>
      <c r="B65" s="12" t="str">
        <f t="shared" si="23"/>
        <v/>
      </c>
      <c r="C65" s="24" t="str">
        <f t="shared" si="22"/>
        <v/>
      </c>
      <c r="D65" s="15"/>
      <c r="E65" s="19"/>
      <c r="F65" s="34"/>
      <c r="G65" s="2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9.5" customHeight="1" x14ac:dyDescent="0.25">
      <c r="A66" s="62" t="str">
        <f t="shared" si="21"/>
        <v/>
      </c>
      <c r="B66" s="12" t="str">
        <f t="shared" si="23"/>
        <v/>
      </c>
      <c r="C66" s="24" t="str">
        <f t="shared" si="22"/>
        <v/>
      </c>
      <c r="D66" s="15"/>
      <c r="E66" s="19"/>
      <c r="F66" s="34"/>
      <c r="G66" s="2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9.5" customHeight="1" x14ac:dyDescent="0.25">
      <c r="A67" s="62" t="str">
        <f t="shared" si="21"/>
        <v/>
      </c>
      <c r="B67" s="12" t="str">
        <f t="shared" si="23"/>
        <v/>
      </c>
      <c r="C67" s="24" t="str">
        <f t="shared" si="22"/>
        <v/>
      </c>
      <c r="D67" s="15"/>
      <c r="E67" s="19"/>
      <c r="F67" s="34"/>
      <c r="G67" s="2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9.5" customHeight="1" x14ac:dyDescent="0.25">
      <c r="A68" s="64" t="str">
        <f t="shared" si="21"/>
        <v/>
      </c>
      <c r="B68" s="65" t="str">
        <f t="shared" si="23"/>
        <v/>
      </c>
      <c r="C68" s="66" t="str">
        <f t="shared" si="22"/>
        <v/>
      </c>
      <c r="D68" s="67"/>
      <c r="E68" s="68"/>
      <c r="F68" s="69"/>
      <c r="G68" s="2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.75" customHeight="1" x14ac:dyDescent="0.25">
      <c r="A69" s="73"/>
      <c r="B69" s="74"/>
      <c r="C69" s="74"/>
      <c r="D69" s="74"/>
      <c r="E69" s="74"/>
      <c r="F69" s="75"/>
      <c r="G69" s="2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.75" customHeight="1" x14ac:dyDescent="0.25">
      <c r="A70" s="73"/>
      <c r="B70" s="76" t="s">
        <v>32</v>
      </c>
      <c r="C70" s="70" t="s">
        <v>33</v>
      </c>
      <c r="D70" s="71"/>
      <c r="E70" s="77" t="s">
        <v>34</v>
      </c>
      <c r="F70" s="72" t="s">
        <v>39</v>
      </c>
      <c r="G70" s="2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.75" customHeight="1" x14ac:dyDescent="0.25">
      <c r="A71" s="73"/>
      <c r="B71" s="74"/>
      <c r="C71" s="74"/>
      <c r="D71" s="74"/>
      <c r="E71" s="74"/>
      <c r="F71" s="75"/>
      <c r="G71" s="2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.75" customHeight="1" x14ac:dyDescent="0.25">
      <c r="A72" s="73"/>
      <c r="B72" s="74"/>
      <c r="C72" s="78" t="s">
        <v>35</v>
      </c>
      <c r="D72" s="79"/>
      <c r="E72" s="74"/>
      <c r="F72" s="75"/>
      <c r="G72" s="2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2.5" customHeight="1" x14ac:dyDescent="0.25">
      <c r="A73" s="73"/>
      <c r="B73" s="74"/>
      <c r="C73" s="78" t="s">
        <v>36</v>
      </c>
      <c r="D73" s="79"/>
      <c r="E73" s="74"/>
      <c r="F73" s="75"/>
      <c r="G73" s="2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hidden="1" customHeight="1" x14ac:dyDescent="0.25">
      <c r="A74" s="73"/>
      <c r="B74" s="74"/>
      <c r="C74" s="74"/>
      <c r="D74" s="74"/>
      <c r="E74" s="74"/>
      <c r="F74" s="75"/>
      <c r="G74" s="2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73"/>
      <c r="B75" s="74"/>
      <c r="C75" s="74"/>
      <c r="D75" s="74"/>
      <c r="E75" s="74"/>
      <c r="F75" s="75"/>
      <c r="G75" s="2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thickBot="1" x14ac:dyDescent="0.3">
      <c r="A76" s="80"/>
      <c r="B76" s="81"/>
      <c r="C76" s="81"/>
      <c r="D76" s="81"/>
      <c r="E76" s="81"/>
      <c r="F76" s="82"/>
      <c r="G76" s="2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hidden="1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hidden="1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hidden="1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hidden="1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hidden="1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hidden="1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hidden="1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hidden="1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hidden="1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hidden="1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hidden="1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hidden="1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hidden="1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hidden="1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hidden="1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hidden="1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hidden="1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hidden="1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hidden="1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hidden="1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hidden="1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hidden="1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hidden="1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hidden="1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hidden="1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hidden="1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hidden="1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hidden="1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hidden="1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hidden="1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hidden="1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hidden="1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hidden="1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hidden="1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hidden="1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hidden="1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hidden="1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hidden="1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hidden="1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hidden="1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hidden="1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hidden="1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hidden="1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hidden="1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hidden="1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hidden="1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hidden="1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hidden="1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hidden="1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hidden="1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hidden="1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hidden="1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hidden="1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hidden="1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hidden="1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hidden="1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hidden="1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hidden="1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hidden="1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hidden="1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hidden="1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hidden="1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hidden="1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hidden="1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hidden="1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hidden="1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hidden="1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hidden="1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hidden="1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hidden="1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hidden="1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hidden="1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hidden="1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hidden="1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hidden="1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hidden="1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hidden="1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hidden="1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hidden="1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hidden="1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hidden="1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hidden="1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hidden="1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hidden="1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hidden="1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hidden="1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hidden="1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hidden="1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hidden="1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hidden="1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hidden="1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hidden="1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hidden="1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hidden="1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hidden="1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hidden="1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hidden="1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hidden="1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hidden="1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hidden="1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hidden="1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hidden="1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hidden="1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hidden="1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hidden="1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hidden="1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hidden="1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hidden="1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hidden="1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hidden="1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hidden="1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hidden="1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hidden="1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hidden="1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hidden="1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hidden="1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hidden="1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hidden="1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hidden="1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hidden="1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hidden="1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hidden="1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hidden="1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hidden="1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hidden="1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hidden="1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hidden="1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hidden="1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hidden="1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hidden="1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hidden="1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hidden="1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hidden="1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hidden="1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hidden="1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hidden="1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hidden="1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hidden="1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hidden="1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hidden="1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hidden="1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hidden="1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hidden="1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hidden="1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hidden="1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hidden="1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hidden="1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hidden="1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hidden="1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hidden="1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hidden="1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hidden="1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hidden="1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hidden="1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hidden="1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hidden="1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hidden="1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hidden="1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hidden="1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hidden="1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hidden="1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hidden="1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hidden="1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hidden="1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hidden="1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hidden="1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hidden="1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hidden="1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hidden="1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hidden="1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hidden="1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hidden="1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hidden="1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hidden="1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hidden="1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hidden="1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hidden="1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hidden="1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hidden="1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hidden="1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hidden="1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hidden="1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hidden="1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hidden="1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hidden="1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hidden="1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hidden="1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hidden="1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hidden="1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hidden="1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hidden="1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hidden="1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hidden="1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hidden="1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hidden="1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hidden="1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hidden="1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hidden="1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hidden="1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hidden="1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hidden="1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hidden="1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hidden="1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hidden="1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hidden="1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hidden="1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hidden="1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hidden="1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hidden="1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hidden="1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hidden="1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hidden="1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hidden="1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hidden="1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hidden="1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hidden="1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hidden="1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hidden="1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hidden="1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hidden="1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hidden="1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hidden="1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hidden="1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hidden="1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hidden="1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hidden="1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hidden="1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hidden="1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hidden="1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hidden="1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hidden="1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hidden="1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hidden="1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hidden="1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hidden="1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hidden="1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hidden="1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hidden="1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hidden="1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hidden="1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hidden="1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hidden="1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hidden="1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hidden="1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hidden="1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hidden="1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hidden="1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hidden="1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hidden="1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hidden="1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hidden="1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hidden="1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hidden="1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hidden="1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hidden="1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hidden="1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hidden="1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hidden="1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hidden="1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hidden="1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hidden="1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hidden="1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hidden="1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hidden="1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hidden="1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hidden="1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hidden="1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hidden="1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hidden="1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hidden="1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hidden="1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hidden="1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hidden="1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hidden="1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hidden="1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hidden="1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hidden="1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hidden="1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hidden="1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hidden="1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hidden="1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hidden="1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hidden="1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hidden="1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hidden="1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hidden="1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hidden="1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hidden="1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hidden="1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hidden="1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hidden="1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hidden="1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hidden="1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hidden="1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hidden="1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hidden="1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hidden="1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hidden="1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hidden="1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hidden="1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hidden="1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hidden="1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hidden="1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hidden="1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hidden="1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hidden="1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hidden="1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hidden="1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hidden="1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hidden="1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hidden="1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hidden="1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hidden="1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hidden="1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hidden="1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hidden="1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hidden="1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hidden="1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hidden="1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hidden="1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hidden="1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hidden="1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hidden="1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hidden="1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hidden="1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hidden="1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hidden="1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hidden="1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hidden="1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hidden="1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hidden="1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hidden="1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hidden="1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hidden="1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hidden="1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hidden="1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hidden="1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hidden="1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hidden="1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hidden="1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hidden="1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hidden="1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hidden="1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hidden="1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hidden="1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hidden="1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hidden="1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hidden="1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hidden="1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hidden="1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hidden="1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hidden="1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hidden="1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hidden="1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hidden="1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hidden="1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hidden="1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hidden="1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hidden="1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hidden="1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hidden="1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hidden="1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hidden="1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hidden="1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hidden="1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hidden="1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hidden="1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hidden="1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hidden="1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hidden="1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hidden="1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hidden="1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hidden="1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hidden="1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hidden="1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hidden="1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hidden="1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hidden="1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hidden="1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hidden="1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hidden="1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hidden="1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hidden="1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hidden="1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hidden="1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hidden="1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hidden="1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hidden="1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hidden="1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hidden="1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hidden="1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hidden="1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hidden="1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hidden="1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hidden="1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hidden="1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hidden="1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hidden="1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hidden="1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hidden="1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hidden="1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hidden="1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hidden="1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hidden="1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hidden="1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hidden="1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hidden="1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hidden="1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hidden="1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hidden="1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hidden="1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hidden="1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hidden="1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hidden="1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hidden="1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hidden="1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hidden="1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hidden="1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hidden="1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hidden="1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hidden="1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hidden="1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hidden="1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hidden="1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hidden="1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hidden="1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hidden="1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hidden="1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hidden="1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hidden="1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hidden="1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hidden="1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hidden="1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hidden="1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hidden="1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hidden="1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hidden="1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hidden="1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hidden="1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hidden="1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hidden="1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hidden="1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hidden="1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hidden="1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hidden="1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hidden="1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hidden="1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hidden="1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hidden="1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hidden="1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hidden="1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hidden="1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hidden="1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hidden="1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hidden="1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hidden="1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hidden="1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hidden="1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hidden="1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hidden="1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hidden="1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hidden="1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hidden="1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hidden="1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hidden="1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hidden="1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hidden="1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hidden="1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hidden="1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hidden="1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hidden="1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hidden="1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hidden="1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hidden="1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hidden="1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hidden="1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hidden="1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hidden="1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hidden="1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hidden="1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hidden="1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hidden="1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hidden="1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hidden="1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hidden="1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hidden="1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hidden="1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hidden="1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hidden="1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hidden="1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hidden="1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hidden="1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hidden="1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hidden="1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hidden="1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hidden="1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hidden="1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hidden="1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hidden="1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hidden="1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hidden="1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hidden="1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hidden="1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hidden="1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hidden="1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hidden="1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hidden="1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hidden="1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hidden="1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hidden="1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hidden="1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hidden="1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hidden="1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hidden="1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hidden="1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hidden="1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hidden="1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hidden="1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hidden="1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hidden="1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hidden="1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hidden="1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hidden="1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hidden="1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hidden="1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hidden="1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hidden="1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hidden="1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hidden="1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hidden="1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hidden="1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hidden="1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hidden="1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hidden="1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hidden="1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hidden="1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hidden="1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hidden="1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hidden="1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hidden="1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hidden="1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hidden="1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hidden="1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hidden="1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hidden="1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hidden="1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hidden="1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hidden="1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hidden="1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hidden="1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hidden="1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hidden="1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hidden="1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hidden="1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hidden="1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hidden="1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hidden="1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hidden="1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hidden="1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hidden="1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hidden="1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hidden="1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hidden="1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hidden="1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hidden="1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hidden="1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hidden="1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hidden="1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hidden="1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hidden="1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hidden="1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hidden="1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hidden="1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hidden="1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hidden="1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hidden="1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hidden="1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hidden="1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hidden="1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hidden="1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hidden="1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hidden="1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hidden="1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hidden="1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hidden="1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hidden="1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hidden="1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hidden="1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hidden="1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hidden="1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hidden="1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hidden="1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hidden="1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hidden="1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hidden="1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hidden="1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hidden="1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hidden="1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hidden="1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hidden="1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hidden="1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hidden="1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hidden="1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hidden="1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hidden="1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hidden="1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hidden="1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hidden="1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hidden="1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hidden="1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hidden="1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hidden="1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hidden="1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hidden="1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hidden="1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hidden="1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hidden="1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hidden="1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hidden="1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hidden="1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hidden="1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hidden="1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hidden="1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hidden="1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hidden="1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hidden="1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hidden="1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hidden="1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hidden="1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hidden="1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hidden="1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hidden="1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hidden="1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hidden="1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hidden="1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hidden="1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hidden="1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hidden="1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hidden="1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hidden="1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hidden="1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hidden="1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hidden="1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hidden="1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hidden="1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hidden="1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hidden="1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hidden="1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hidden="1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hidden="1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hidden="1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hidden="1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hidden="1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hidden="1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hidden="1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hidden="1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hidden="1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hidden="1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hidden="1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hidden="1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hidden="1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hidden="1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hidden="1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hidden="1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hidden="1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hidden="1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hidden="1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hidden="1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hidden="1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hidden="1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hidden="1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hidden="1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hidden="1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hidden="1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hidden="1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hidden="1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hidden="1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hidden="1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hidden="1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hidden="1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hidden="1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hidden="1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hidden="1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hidden="1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hidden="1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hidden="1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hidden="1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hidden="1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hidden="1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hidden="1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hidden="1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hidden="1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hidden="1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hidden="1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hidden="1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hidden="1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hidden="1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hidden="1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hidden="1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hidden="1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hidden="1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hidden="1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hidden="1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hidden="1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hidden="1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hidden="1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hidden="1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hidden="1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hidden="1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hidden="1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hidden="1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hidden="1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hidden="1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hidden="1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hidden="1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hidden="1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hidden="1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hidden="1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hidden="1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hidden="1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hidden="1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hidden="1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hidden="1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hidden="1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hidden="1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hidden="1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hidden="1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hidden="1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hidden="1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hidden="1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hidden="1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hidden="1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hidden="1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hidden="1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hidden="1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hidden="1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hidden="1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hidden="1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hidden="1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hidden="1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hidden="1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hidden="1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hidden="1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hidden="1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hidden="1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hidden="1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hidden="1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hidden="1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hidden="1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hidden="1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hidden="1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hidden="1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hidden="1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hidden="1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hidden="1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hidden="1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hidden="1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hidden="1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hidden="1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hidden="1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hidden="1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hidden="1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hidden="1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hidden="1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hidden="1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hidden="1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hidden="1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hidden="1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hidden="1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hidden="1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hidden="1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hidden="1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hidden="1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hidden="1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hidden="1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hidden="1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hidden="1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hidden="1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hidden="1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hidden="1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hidden="1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hidden="1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hidden="1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hidden="1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hidden="1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hidden="1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hidden="1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hidden="1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hidden="1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hidden="1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hidden="1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hidden="1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hidden="1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hidden="1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hidden="1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hidden="1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hidden="1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hidden="1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hidden="1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hidden="1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hidden="1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hidden="1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hidden="1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hidden="1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hidden="1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hidden="1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hidden="1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hidden="1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hidden="1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hidden="1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hidden="1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hidden="1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hidden="1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hidden="1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hidden="1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hidden="1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hidden="1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hidden="1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hidden="1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hidden="1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hidden="1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hidden="1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hidden="1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hidden="1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hidden="1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hidden="1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hidden="1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hidden="1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hidden="1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hidden="1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hidden="1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hidden="1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hidden="1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hidden="1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hidden="1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hidden="1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hidden="1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hidden="1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hidden="1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hidden="1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hidden="1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hidden="1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hidden="1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hidden="1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hidden="1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hidden="1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hidden="1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hidden="1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hidden="1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hidden="1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hidden="1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hidden="1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hidden="1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hidden="1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hidden="1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hidden="1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hidden="1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hidden="1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hidden="1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hidden="1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hidden="1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hidden="1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hidden="1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hidden="1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hidden="1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hidden="1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hidden="1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hidden="1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hidden="1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hidden="1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hidden="1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hidden="1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hidden="1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hidden="1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hidden="1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hidden="1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hidden="1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hidden="1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hidden="1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hidden="1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hidden="1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hidden="1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hidden="1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hidden="1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hidden="1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hidden="1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hidden="1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hidden="1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hidden="1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hidden="1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hidden="1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hidden="1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hidden="1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hidden="1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hidden="1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hidden="1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hidden="1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hidden="1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hidden="1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hidden="1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hidden="1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hidden="1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hidden="1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hidden="1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hidden="1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hidden="1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hidden="1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hidden="1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hidden="1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hidden="1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hidden="1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hidden="1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hidden="1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hidden="1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hidden="1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hidden="1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hidden="1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hidden="1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hidden="1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hidden="1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hidden="1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algorithmName="SHA-512" hashValue="ZBN2FcoXZ4SrLiRRP925qktVZnszm/vOAcZO+NXetmEsCbt0SvS0q3KEkSriHepFQlNu3a0jpi2L2VL1DjJpxw==" saltValue="SBBRpdNxN8L497gpy756Lw==" spinCount="100000" sheet="1" objects="1" scenarios="1" formatCells="0" formatColumns="0" formatRows="0"/>
  <mergeCells count="46">
    <mergeCell ref="C61:D61"/>
    <mergeCell ref="C62:D62"/>
    <mergeCell ref="C63:D63"/>
    <mergeCell ref="C64:D64"/>
    <mergeCell ref="A44:F44"/>
    <mergeCell ref="A57:F57"/>
    <mergeCell ref="C58:D58"/>
    <mergeCell ref="E58:F58"/>
    <mergeCell ref="C59:D59"/>
    <mergeCell ref="E59:F68"/>
    <mergeCell ref="C60:D60"/>
    <mergeCell ref="C65:D65"/>
    <mergeCell ref="C66:D66"/>
    <mergeCell ref="C67:D67"/>
    <mergeCell ref="C68:D68"/>
    <mergeCell ref="C26:E26"/>
    <mergeCell ref="C27:E27"/>
    <mergeCell ref="A29:F29"/>
    <mergeCell ref="A30:F30"/>
    <mergeCell ref="A43:F43"/>
    <mergeCell ref="C21:E21"/>
    <mergeCell ref="C22:E22"/>
    <mergeCell ref="C23:E23"/>
    <mergeCell ref="C24:E24"/>
    <mergeCell ref="C25:E25"/>
    <mergeCell ref="C11:F15"/>
    <mergeCell ref="C17:E17"/>
    <mergeCell ref="C18:E18"/>
    <mergeCell ref="C19:E19"/>
    <mergeCell ref="C20:E20"/>
    <mergeCell ref="C70:D70"/>
    <mergeCell ref="C72:D72"/>
    <mergeCell ref="C73:D73"/>
    <mergeCell ref="A2:F2"/>
    <mergeCell ref="A3:F3"/>
    <mergeCell ref="A4:F4"/>
    <mergeCell ref="A5:F5"/>
    <mergeCell ref="A7:B7"/>
    <mergeCell ref="C7:D7"/>
    <mergeCell ref="C8:D8"/>
    <mergeCell ref="A8:B8"/>
    <mergeCell ref="A9:B9"/>
    <mergeCell ref="C9:D9"/>
    <mergeCell ref="A10:B10"/>
    <mergeCell ref="C10:D10"/>
    <mergeCell ref="A11:B15"/>
  </mergeCells>
  <conditionalFormatting sqref="B59:B68">
    <cfRule type="cellIs" dxfId="16" priority="1" operator="between">
      <formula>0</formula>
      <formula>1E+132</formula>
    </cfRule>
  </conditionalFormatting>
  <conditionalFormatting sqref="F32">
    <cfRule type="expression" dxfId="15" priority="2">
      <formula>E32=""</formula>
    </cfRule>
  </conditionalFormatting>
  <conditionalFormatting sqref="F32">
    <cfRule type="expression" dxfId="14" priority="3">
      <formula>E32&gt;30%</formula>
    </cfRule>
  </conditionalFormatting>
  <conditionalFormatting sqref="F33">
    <cfRule type="expression" dxfId="13" priority="4">
      <formula>E33=""</formula>
    </cfRule>
  </conditionalFormatting>
  <conditionalFormatting sqref="F33">
    <cfRule type="expression" dxfId="12" priority="5">
      <formula>E33&gt;30%</formula>
    </cfRule>
  </conditionalFormatting>
  <conditionalFormatting sqref="F34:F41">
    <cfRule type="expression" dxfId="11" priority="6">
      <formula>E34=""</formula>
    </cfRule>
  </conditionalFormatting>
  <conditionalFormatting sqref="F34:F41">
    <cfRule type="expression" dxfId="10" priority="7">
      <formula>E34&gt;30%</formula>
    </cfRule>
  </conditionalFormatting>
  <conditionalFormatting sqref="C19 C24">
    <cfRule type="expression" dxfId="9" priority="8">
      <formula>#REF!&gt;0</formula>
    </cfRule>
  </conditionalFormatting>
  <conditionalFormatting sqref="F46:F55">
    <cfRule type="expression" dxfId="8" priority="17">
      <formula>E46&lt;70%</formula>
    </cfRule>
  </conditionalFormatting>
  <conditionalFormatting sqref="C23">
    <cfRule type="expression" dxfId="7" priority="18">
      <formula>#REF!&gt;0</formula>
    </cfRule>
  </conditionalFormatting>
  <conditionalFormatting sqref="C25">
    <cfRule type="expression" dxfId="6" priority="19">
      <formula>#REF!&gt;0</formula>
    </cfRule>
  </conditionalFormatting>
  <conditionalFormatting sqref="C26">
    <cfRule type="expression" dxfId="5" priority="20">
      <formula>#REF!&gt;0</formula>
    </cfRule>
  </conditionalFormatting>
  <conditionalFormatting sqref="C27">
    <cfRule type="expression" dxfId="4" priority="21">
      <formula>#REF!&gt;0</formula>
    </cfRule>
  </conditionalFormatting>
  <conditionalFormatting sqref="C18 F18:F27">
    <cfRule type="expression" dxfId="3" priority="22">
      <formula>#REF!&gt;0</formula>
    </cfRule>
  </conditionalFormatting>
  <conditionalFormatting sqref="C20">
    <cfRule type="expression" dxfId="2" priority="24">
      <formula>#REF!&gt;0</formula>
    </cfRule>
  </conditionalFormatting>
  <conditionalFormatting sqref="C22">
    <cfRule type="expression" dxfId="1" priority="27">
      <formula>#REF!&gt;0</formula>
    </cfRule>
  </conditionalFormatting>
  <conditionalFormatting sqref="C21">
    <cfRule type="expression" dxfId="0" priority="28">
      <formula>#REF!&gt;0</formula>
    </cfRule>
  </conditionalFormatting>
  <dataValidations disablePrompts="1" count="1">
    <dataValidation type="list" allowBlank="1" showErrorMessage="1" sqref="A18:A27">
      <formula1>$K$1:$K$6</formula1>
    </dataValidation>
  </dataValidations>
  <printOptions horizontalCentered="1" gridLines="1"/>
  <pageMargins left="0.51181102362204722" right="0.51181102362204722" top="0.98425196850393704" bottom="0.78740157480314965" header="0" footer="0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Item</vt:lpstr>
      <vt:lpstr>Item!Area_de_impressao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Caninja Soares Ferreira</dc:creator>
  <cp:lastModifiedBy>Jiancarlo de Souza Leoncio</cp:lastModifiedBy>
  <cp:lastPrinted>2025-04-16T19:50:19Z</cp:lastPrinted>
  <dcterms:created xsi:type="dcterms:W3CDTF">2020-02-04T13:56:31Z</dcterms:created>
  <dcterms:modified xsi:type="dcterms:W3CDTF">2025-04-16T19:51:41Z</dcterms:modified>
</cp:coreProperties>
</file>